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<sst xmlns="http://schemas.openxmlformats.org/spreadsheetml/2006/main" count="60" uniqueCount="51">
  <si>
    <t>Asset Name</t>
  </si>
  <si>
    <t>Asset Category</t>
  </si>
  <si>
    <t>Data Type</t>
  </si>
  <si>
    <t>Criticality(1-10)</t>
  </si>
  <si>
    <t>Why is it critical?</t>
  </si>
  <si>
    <t>Threat</t>
  </si>
  <si>
    <t>Vulnerability</t>
  </si>
  <si>
    <t>Likelihood(1-3)</t>
  </si>
  <si>
    <t>Impact(1-3)</t>
  </si>
  <si>
    <t>Risk Score</t>
  </si>
  <si>
    <t>EHR System</t>
  </si>
  <si>
    <t>Software/Cloud</t>
  </si>
  <si>
    <t>PHI (Protected Health Information)</t>
  </si>
  <si>
    <t>If this is down, doctors can't see patient history or prescribe meds.</t>
  </si>
  <si>
    <t>Ransmware</t>
  </si>
  <si>
    <t>No Offline Backups</t>
  </si>
  <si>
    <t>Front Desk Laptops</t>
  </si>
  <si>
    <t>Hardware</t>
  </si>
  <si>
    <t>PII (Personally Identifiable Info)</t>
  </si>
  <si>
    <t>These are used for check-ins and payments. High risk for theft or malware.</t>
  </si>
  <si>
    <t>Data Breach</t>
  </si>
  <si>
    <t xml:space="preserve">No Disk Encryption </t>
  </si>
  <si>
    <t>Medical Imaging Server</t>
  </si>
  <si>
    <t>Hardware/local</t>
  </si>
  <si>
    <t>Diagnostic Data (X-rays, MRIs)</t>
  </si>
  <si>
    <t>Stores large files locally. If corrupted, surgeries or diagnoses are delayed.</t>
  </si>
  <si>
    <t>Hardware-Failure</t>
  </si>
  <si>
    <t>End-Of-Life OS (win 7)</t>
  </si>
  <si>
    <t>Billing and Insurance Portal</t>
  </si>
  <si>
    <t>Software/Web</t>
  </si>
  <si>
    <t>Financial/PCI Data</t>
  </si>
  <si>
    <t>This is how the clinic gets paid. A breach here means financial fraud.</t>
  </si>
  <si>
    <t>Unauthorized Access</t>
  </si>
  <si>
    <t>No Principle Of Least Privileges</t>
  </si>
  <si>
    <t>Clinic Backup Drive</t>
  </si>
  <si>
    <t>Hardware/NAS</t>
  </si>
  <si>
    <t>All Data Types</t>
  </si>
  <si>
    <t>This is the "Safety Net." If this is compromised during a ransomware attack, the clinic is finished.</t>
  </si>
  <si>
    <t>Logic Bomb</t>
  </si>
  <si>
    <t>Default Passwords used</t>
  </si>
  <si>
    <t>Current Risk Score</t>
  </si>
  <si>
    <t>Security Control( The Fix)</t>
  </si>
  <si>
    <t>Control Type</t>
  </si>
  <si>
    <t>Residual Risk(Expected)</t>
  </si>
  <si>
    <t>Setup Immutable Cloud Backups (3-2-1 Rule) 3 copies, 2 different media, 1 offsite</t>
  </si>
  <si>
    <t>Technical</t>
  </si>
  <si>
    <t>Enable BitLocker Full Disk Encryption</t>
  </si>
  <si>
    <t>Network Segmentation (VLAN)</t>
  </si>
  <si>
    <t>Implement Role-Based Access Control (RBAC)</t>
  </si>
  <si>
    <t>Air-gapped Physical Storage</t>
  </si>
  <si>
    <t>Physical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</si>
</sst>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5.63"/>
    <col customWidth="1" min="3" max="3" width="61.38"/>
    <col customWidth="1" min="5" max="5" width="71.88"/>
    <col customWidth="1" min="6" max="6" width="16.88"/>
    <col customWidth="1" min="7" max="7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 t="s">
        <v>11</v>
      </c>
      <c r="C2" s="2" t="s">
        <v>12</v>
      </c>
      <c r="D2" s="2">
        <v>10.0</v>
      </c>
      <c r="E2" s="2" t="s">
        <v>13</v>
      </c>
      <c r="F2" s="2" t="s">
        <v>14</v>
      </c>
      <c r="G2" s="2" t="s">
        <v>15</v>
      </c>
      <c r="H2" s="2">
        <v>2.0</v>
      </c>
      <c r="I2" s="2">
        <v>3.0</v>
      </c>
      <c r="J2" s="3">
        <f t="shared" ref="J2:J6" si="1">H2*I2</f>
        <v>6</v>
      </c>
    </row>
    <row r="3">
      <c r="A3" s="1" t="s">
        <v>16</v>
      </c>
      <c r="B3" s="2" t="s">
        <v>17</v>
      </c>
      <c r="C3" s="2" t="s">
        <v>18</v>
      </c>
      <c r="D3" s="2">
        <v>7.0</v>
      </c>
      <c r="E3" s="2" t="s">
        <v>19</v>
      </c>
      <c r="F3" s="2" t="s">
        <v>20</v>
      </c>
      <c r="G3" s="2" t="s">
        <v>21</v>
      </c>
      <c r="H3" s="2">
        <v>3.0</v>
      </c>
      <c r="I3" s="2">
        <v>2.0</v>
      </c>
      <c r="J3" s="3">
        <f t="shared" si="1"/>
        <v>6</v>
      </c>
    </row>
    <row r="4">
      <c r="A4" s="1" t="s">
        <v>22</v>
      </c>
      <c r="B4" s="2" t="s">
        <v>23</v>
      </c>
      <c r="C4" s="2" t="s">
        <v>24</v>
      </c>
      <c r="D4" s="2">
        <v>8.0</v>
      </c>
      <c r="E4" s="2" t="s">
        <v>25</v>
      </c>
      <c r="F4" s="2" t="s">
        <v>26</v>
      </c>
      <c r="G4" s="2" t="s">
        <v>27</v>
      </c>
      <c r="H4" s="2">
        <v>2.0</v>
      </c>
      <c r="I4" s="2">
        <v>1.0</v>
      </c>
      <c r="J4" s="3">
        <f t="shared" si="1"/>
        <v>2</v>
      </c>
    </row>
    <row r="5">
      <c r="A5" s="1" t="s">
        <v>28</v>
      </c>
      <c r="B5" s="2" t="s">
        <v>29</v>
      </c>
      <c r="C5" s="2" t="s">
        <v>30</v>
      </c>
      <c r="D5" s="2">
        <v>9.0</v>
      </c>
      <c r="E5" s="2" t="s">
        <v>31</v>
      </c>
      <c r="F5" s="2" t="s">
        <v>32</v>
      </c>
      <c r="G5" s="2" t="s">
        <v>33</v>
      </c>
      <c r="H5" s="2">
        <v>3.0</v>
      </c>
      <c r="I5" s="2">
        <v>3.0</v>
      </c>
      <c r="J5" s="3">
        <f t="shared" si="1"/>
        <v>9</v>
      </c>
    </row>
    <row r="6">
      <c r="A6" s="1" t="s">
        <v>34</v>
      </c>
      <c r="B6" s="2" t="s">
        <v>35</v>
      </c>
      <c r="C6" s="2" t="s">
        <v>36</v>
      </c>
      <c r="D6" s="2">
        <v>10.0</v>
      </c>
      <c r="E6" s="2" t="s">
        <v>37</v>
      </c>
      <c r="F6" s="2" t="s">
        <v>38</v>
      </c>
      <c r="G6" s="2" t="s">
        <v>39</v>
      </c>
      <c r="H6" s="2">
        <v>2.0</v>
      </c>
      <c r="I6" s="2">
        <v>3.0</v>
      </c>
      <c r="J6" s="3">
        <f t="shared" si="1"/>
        <v>6</v>
      </c>
    </row>
    <row r="9">
      <c r="A9" s="1" t="s">
        <v>0</v>
      </c>
      <c r="B9" s="1" t="s">
        <v>40</v>
      </c>
      <c r="C9" s="1" t="s">
        <v>41</v>
      </c>
      <c r="D9" s="1" t="s">
        <v>42</v>
      </c>
      <c r="E9" s="1" t="s">
        <v>43</v>
      </c>
    </row>
    <row r="10">
      <c r="A10" s="1" t="s">
        <v>10</v>
      </c>
      <c r="B10" s="2">
        <v>6.0</v>
      </c>
      <c r="C10" s="4" t="s">
        <v>44</v>
      </c>
      <c r="D10" s="2" t="s">
        <v>45</v>
      </c>
      <c r="E10" s="2">
        <v>2.0</v>
      </c>
    </row>
    <row r="11">
      <c r="A11" s="1" t="s">
        <v>16</v>
      </c>
      <c r="B11" s="2">
        <v>6.0</v>
      </c>
      <c r="C11" s="4" t="s">
        <v>46</v>
      </c>
      <c r="D11" s="2" t="s">
        <v>45</v>
      </c>
      <c r="E11" s="2">
        <v>3.0</v>
      </c>
    </row>
    <row r="12">
      <c r="A12" s="1" t="s">
        <v>22</v>
      </c>
      <c r="B12" s="2">
        <v>4.0</v>
      </c>
      <c r="C12" s="2" t="s">
        <v>47</v>
      </c>
      <c r="D12" s="2" t="s">
        <v>45</v>
      </c>
      <c r="E12" s="2">
        <v>1.0</v>
      </c>
    </row>
    <row r="13">
      <c r="A13" s="1" t="s">
        <v>28</v>
      </c>
      <c r="B13" s="2">
        <v>9.0</v>
      </c>
      <c r="C13" s="2" t="s">
        <v>48</v>
      </c>
      <c r="D13" s="2" t="s">
        <v>45</v>
      </c>
      <c r="E13" s="2">
        <v>2.0</v>
      </c>
    </row>
    <row r="14">
      <c r="A14" s="1" t="s">
        <v>34</v>
      </c>
      <c r="B14" s="2">
        <v>6.0</v>
      </c>
      <c r="C14" s="2" t="s">
        <v>49</v>
      </c>
      <c r="D14" s="2" t="s">
        <v>50</v>
      </c>
      <c r="E14" s="2">
        <v>2.0</v>
      </c>
    </row>
  </sheetData>
  <conditionalFormatting sqref="J2:J6">
    <cfRule type="cellIs" dxfId="0" priority="1" operator="greaterThanOrEqual">
      <formula>7</formula>
    </cfRule>
  </conditionalFormatting>
  <conditionalFormatting sqref="J2:J6">
    <cfRule type="cellIs" dxfId="1" priority="2" operator="between">
      <formula>4</formula>
      <formula>6</formula>
    </cfRule>
  </conditionalFormatting>
  <conditionalFormatting sqref="J2:J6">
    <cfRule type="cellIs" dxfId="2" priority="3" operator="lessThanOrEqual">
      <formula>3</formula>
    </cfRule>
  </conditionalFormatting>
  <conditionalFormatting sqref="H13">
    <cfRule type="colorScale" priority="4">
      <colorScale>
        <cfvo type="min"/>
        <cfvo type="max"/>
        <color rgb="FFFFFFFF"/>
        <color rgb="FF57BB8A"/>
      </colorScale>
    </cfRule>
  </conditionalFormatting>
  <conditionalFormatting sqref="H13">
    <cfRule type="colorScale" priority="5">
      <colorScale>
        <cfvo type="min"/>
        <cfvo type="max"/>
        <color rgb="FFFFFFFF"/>
        <color rgb="FF57BB8A"/>
      </colorScale>
    </cfRule>
  </conditionalFormatting>
  <drawing r:id="rId1"/>
</worksheet>
</file>